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FF"/>
      <sz val="11"/>
    </font>
    <font>
      <name val="Arial"/>
      <sz val="10"/>
    </font>
    <font>
      <name val="Arial"/>
      <color rgb="00666666"/>
      <sz val="9"/>
    </font>
    <font>
      <name val="Arial"/>
      <b val="1"/>
      <sz val="11"/>
    </font>
    <font>
      <name val="Arial"/>
      <sz val="11"/>
    </font>
    <font>
      <name val="Arial"/>
      <b val="1"/>
      <sz val="12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6" fillId="0" borderId="1" pivotButton="0" quotePrefix="0" xfId="0"/>
    <xf numFmtId="0" fontId="7" fillId="3" borderId="1" pivotButton="0" quotePrefix="0" xfId="0"/>
    <xf numFmtId="0" fontId="0" fillId="0" borderId="1" pivotButton="0" quotePrefix="0" xfId="0"/>
    <xf numFmtId="164" fontId="8" fillId="0" borderId="1" pivotButton="0" quotePrefix="0" xfId="0"/>
    <xf numFmtId="0" fontId="9" fillId="4" borderId="1" pivotButton="0" quotePrefix="0" xfId="0"/>
    <xf numFmtId="164" fontId="9" fillId="4" borderId="1" pivotButton="0" quotePrefix="0" xfId="0"/>
    <xf numFmtId="0" fontId="7" fillId="0" borderId="1" pivotButton="0" quotePrefix="0" xfId="0"/>
    <xf numFmtId="0" fontId="1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8" customWidth="1" min="3" max="3"/>
    <col width="32" customWidth="1" min="4" max="4"/>
  </cols>
  <sheetData>
    <row r="1">
      <c r="A1" s="1" t="inlineStr">
        <is>
          <t>Sentinelle 974 — Budget prévisionnel (8 semaines MVP)</t>
        </is>
      </c>
    </row>
    <row r="2">
      <c r="A2" s="2" t="inlineStr">
        <is>
          <t>Porteur : Mozy (Saint-Pierre, La Réunion) · Montants HT · TVA non applicable (micro-entreprise / franchise)</t>
        </is>
      </c>
    </row>
    <row r="4">
      <c r="A4" s="3" t="inlineStr">
        <is>
          <t>Poste</t>
        </is>
      </c>
      <c r="B4" s="3" t="inlineStr">
        <is>
          <t>Détail</t>
        </is>
      </c>
      <c r="C4" s="3" t="inlineStr">
        <is>
          <t>Montant (€)</t>
        </is>
      </c>
      <c r="D4" s="3" t="inlineStr">
        <is>
          <t>Source / hypothèse</t>
        </is>
      </c>
    </row>
    <row r="5">
      <c r="A5" s="4" t="inlineStr">
        <is>
          <t>Développement (8 semaines)</t>
        </is>
      </c>
      <c r="B5" s="5" t="inlineStr">
        <is>
          <t>200 €/jour × 80 jours</t>
        </is>
      </c>
      <c r="C5" s="6" t="n">
        <v>16000</v>
      </c>
      <c r="D5" s="7" t="inlineStr">
        <is>
          <t>TJM freelance local</t>
        </is>
      </c>
    </row>
    <row r="6">
      <c r="A6" s="4" t="inlineStr">
        <is>
          <t>Matériel de test</t>
        </is>
      </c>
      <c r="B6" s="5" t="inlineStr">
        <is>
          <t>2 mini-PC (600 €/unité)</t>
        </is>
      </c>
      <c r="C6" s="6" t="n">
        <v>1200</v>
      </c>
      <c r="D6" s="7" t="inlineStr">
        <is>
          <t>Devis fournisseur à joindre</t>
        </is>
      </c>
    </row>
    <row r="7">
      <c r="A7" s="4" t="inlineStr">
        <is>
          <t>Licences &amp; bases de données</t>
        </is>
      </c>
      <c r="B7" s="5" t="inlineStr">
        <is>
          <t>GeoLite2 gratuite + divers</t>
        </is>
      </c>
      <c r="C7" s="6" t="n">
        <v>400</v>
      </c>
      <c r="D7" s="7" t="inlineStr">
        <is>
          <t>MaxMind gratuite</t>
        </is>
      </c>
    </row>
    <row r="8">
      <c r="A8" s="4" t="inlineStr">
        <is>
          <t>Hébergement / infra de test</t>
        </is>
      </c>
      <c r="B8" s="5" t="inlineStr">
        <is>
          <t>VPS local / NAS</t>
        </is>
      </c>
      <c r="C8" s="6" t="n">
        <v>800</v>
      </c>
      <c r="D8" s="7" t="inlineStr">
        <is>
          <t>Devis à joindre</t>
        </is>
      </c>
    </row>
    <row r="9">
      <c r="A9" s="4" t="inlineStr">
        <is>
          <t>Communication &amp; démo client</t>
        </is>
      </c>
      <c r="B9" s="5" t="inlineStr">
        <is>
          <t>Maquette, démo, dossier</t>
        </is>
      </c>
      <c r="C9" s="6" t="n">
        <v>1600</v>
      </c>
      <c r="D9" s="7" t="inlineStr">
        <is>
          <t>Estimation</t>
        </is>
      </c>
    </row>
    <row r="10">
      <c r="A10" s="8" t="inlineStr">
        <is>
          <t>Sous-total</t>
        </is>
      </c>
      <c r="B10" s="9" t="n"/>
      <c r="C10" s="10">
        <f>SUM(C5:C9)</f>
        <v/>
      </c>
      <c r="D10" s="9" t="n"/>
    </row>
    <row r="11">
      <c r="A11" s="4" t="inlineStr">
        <is>
          <t>Imprévus (20%)</t>
        </is>
      </c>
      <c r="B11" s="5" t="inlineStr">
        <is>
          <t>Marge de sécurité</t>
        </is>
      </c>
      <c r="C11" s="10">
        <f>C10*0.2</f>
        <v/>
      </c>
      <c r="D11" s="7" t="inlineStr">
        <is>
          <t>Taux standard 20%</t>
        </is>
      </c>
    </row>
    <row r="12">
      <c r="A12" s="11" t="inlineStr">
        <is>
          <t>TOTAL</t>
        </is>
      </c>
      <c r="B12" s="9" t="n"/>
      <c r="C12" s="12">
        <f>C10+C11</f>
        <v/>
      </c>
      <c r="D12" s="9" t="n"/>
    </row>
    <row r="14">
      <c r="A14" s="13" t="inlineStr">
        <is>
          <t>Subvention demandée (60-80% selon dispositif)</t>
        </is>
      </c>
      <c r="B14" s="9" t="n"/>
      <c r="C14" s="10">
        <f>C12*0.7</f>
        <v/>
      </c>
      <c r="D14" s="7" t="inlineStr">
        <is>
          <t>Taux à confirmer avec le dispositif</t>
        </is>
      </c>
    </row>
    <row r="16">
      <c r="A16" s="14" t="inlineStr">
        <is>
          <t>Légende :</t>
        </is>
      </c>
    </row>
    <row r="17">
      <c r="A17" s="15" t="inlineStr">
        <is>
          <t>Bleu = montant à adapter · Noir = formule (recalculée à l'ouverture)</t>
        </is>
      </c>
    </row>
    <row r="18">
      <c r="A18" s="15" t="inlineStr">
        <is>
          <t>Les formules utilisent SOMME (SUM) — compatibles Excel et LibreOffice.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2026-08-23T18:05:13Z</dcterms:created>
  <dcterms:modified xsi:type="dcterms:W3CDTF">2026-08-23T18:05:13Z</dcterms:modified>
</cp:coreProperties>
</file>